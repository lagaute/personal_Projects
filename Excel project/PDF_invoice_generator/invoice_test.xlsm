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eogautier/Documents/"/>
    </mc:Choice>
  </mc:AlternateContent>
  <xr:revisionPtr revIDLastSave="0" documentId="13_ncr:1_{8608DDA7-EFD3-E14A-A1B6-E8AB1D0FD7CA}" xr6:coauthVersionLast="47" xr6:coauthVersionMax="47" xr10:uidLastSave="{00000000-0000-0000-0000-000000000000}"/>
  <bookViews>
    <workbookView xWindow="0" yWindow="500" windowWidth="28800" windowHeight="15960" xr2:uid="{1F3B2338-F1FD-1A4A-8EC4-0DF7D0C12EC3}"/>
  </bookViews>
  <sheets>
    <sheet name="facture " sheetId="1" r:id="rId1"/>
    <sheet name="Product" sheetId="3" r:id="rId2"/>
    <sheet name="customers" sheetId="2" r:id="rId3"/>
  </sheets>
  <definedNames>
    <definedName name="_xlnm.Print_Area" localSheetId="0">'facture '!$A$1:$E$35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/>
  <c r="E16" i="1"/>
  <c r="E17" i="1"/>
  <c r="E18" i="1"/>
  <c r="E19" i="1"/>
  <c r="E20" i="1"/>
  <c r="E21" i="1"/>
  <c r="E13" i="1"/>
  <c r="C13" i="1"/>
  <c r="D13" i="1" s="1"/>
  <c r="D16" i="1"/>
  <c r="D17" i="1"/>
  <c r="D18" i="1"/>
  <c r="D19" i="1"/>
  <c r="D20" i="1"/>
  <c r="D21" i="1"/>
  <c r="C14" i="1"/>
  <c r="C15" i="1"/>
  <c r="E15" i="1" s="1"/>
  <c r="E23" i="1" s="1"/>
  <c r="C16" i="1"/>
  <c r="C17" i="1"/>
  <c r="C18" i="1"/>
  <c r="C19" i="1"/>
  <c r="C20" i="1"/>
  <c r="C21" i="1"/>
  <c r="C9" i="1"/>
  <c r="C8" i="1"/>
  <c r="C7" i="1"/>
  <c r="D15" i="1" l="1"/>
  <c r="D14" i="1"/>
  <c r="E24" i="1" l="1"/>
  <c r="E25" i="1" s="1"/>
  <c r="E6" i="1"/>
  <c r="E7" i="1" s="1"/>
</calcChain>
</file>

<file path=xl/sharedStrings.xml><?xml version="1.0" encoding="utf-8"?>
<sst xmlns="http://schemas.openxmlformats.org/spreadsheetml/2006/main" count="70" uniqueCount="68">
  <si>
    <t>COMPANY</t>
  </si>
  <si>
    <t>Address 2</t>
  </si>
  <si>
    <t>Address 1</t>
  </si>
  <si>
    <t>Contact</t>
  </si>
  <si>
    <t>Mike Inc.</t>
  </si>
  <si>
    <t>New York, NY, 12290</t>
  </si>
  <si>
    <t>San Francisco, CA , 15000</t>
  </si>
  <si>
    <t>info@mike.inc</t>
  </si>
  <si>
    <t>FROM:</t>
  </si>
  <si>
    <t>Invoice Date:</t>
  </si>
  <si>
    <t>Due Date:</t>
  </si>
  <si>
    <t xml:space="preserve">DESCRIPTION </t>
  </si>
  <si>
    <t xml:space="preserve">QUANTITY </t>
  </si>
  <si>
    <t>Tax</t>
  </si>
  <si>
    <t>Payment Information</t>
  </si>
  <si>
    <t>Comments</t>
  </si>
  <si>
    <t>Bank Name:</t>
  </si>
  <si>
    <t>Thank you for your work!</t>
  </si>
  <si>
    <t>Account Number:</t>
  </si>
  <si>
    <t>Sort Code:</t>
  </si>
  <si>
    <t>10-20-30</t>
  </si>
  <si>
    <t>IBAN:</t>
  </si>
  <si>
    <t>CB123456</t>
  </si>
  <si>
    <t>BIC</t>
  </si>
  <si>
    <t>Product A</t>
  </si>
  <si>
    <r>
      <rPr>
        <sz val="48"/>
        <color theme="1"/>
        <rFont val="Aptos Narrow (Body)"/>
      </rPr>
      <t xml:space="preserve">INVOICE L2O </t>
    </r>
    <r>
      <rPr>
        <sz val="12"/>
        <color theme="1"/>
        <rFont val="Aptos Narrow"/>
        <family val="2"/>
        <scheme val="minor"/>
      </rPr>
      <t xml:space="preserve">  </t>
    </r>
  </si>
  <si>
    <t>Breteuil</t>
  </si>
  <si>
    <t xml:space="preserve">12 Rue de l'aligot </t>
  </si>
  <si>
    <t>Paris, 13th</t>
  </si>
  <si>
    <t>Breteuil.CO@gmail.com</t>
  </si>
  <si>
    <t>599 Ave. Schott</t>
  </si>
  <si>
    <t>Sam Paint</t>
  </si>
  <si>
    <t xml:space="preserve">West Street </t>
  </si>
  <si>
    <t>sam.paint@gmail.com</t>
  </si>
  <si>
    <t>bikerepair</t>
  </si>
  <si>
    <t>15 avenue de l'oléron</t>
  </si>
  <si>
    <t>Ecully 69130</t>
  </si>
  <si>
    <t>Bikerpr@gmail.com</t>
  </si>
  <si>
    <t xml:space="preserve">Bill to : </t>
  </si>
  <si>
    <t>Price</t>
  </si>
  <si>
    <t xml:space="preserve">Product </t>
  </si>
  <si>
    <r>
      <t>Product</t>
    </r>
    <r>
      <rPr>
        <b/>
        <sz val="12"/>
        <color theme="1"/>
        <rFont val="Aptos Narrow"/>
        <scheme val="minor"/>
      </rPr>
      <t xml:space="preserve"> A</t>
    </r>
  </si>
  <si>
    <r>
      <t>Product</t>
    </r>
    <r>
      <rPr>
        <b/>
        <sz val="12"/>
        <color theme="1"/>
        <rFont val="Aptos Narrow"/>
        <scheme val="minor"/>
      </rPr>
      <t xml:space="preserve"> B</t>
    </r>
  </si>
  <si>
    <r>
      <t>Product</t>
    </r>
    <r>
      <rPr>
        <b/>
        <sz val="12"/>
        <color theme="1"/>
        <rFont val="Aptos Narrow"/>
        <scheme val="minor"/>
      </rPr>
      <t xml:space="preserve"> C</t>
    </r>
  </si>
  <si>
    <r>
      <t>Product</t>
    </r>
    <r>
      <rPr>
        <b/>
        <sz val="12"/>
        <color theme="1"/>
        <rFont val="Aptos Narrow"/>
        <scheme val="minor"/>
      </rPr>
      <t xml:space="preserve"> D</t>
    </r>
  </si>
  <si>
    <r>
      <t>Product</t>
    </r>
    <r>
      <rPr>
        <b/>
        <sz val="12"/>
        <color rgb="FF000000"/>
        <rFont val="Aptos Narrow"/>
        <scheme val="minor"/>
      </rPr>
      <t xml:space="preserve"> E</t>
    </r>
  </si>
  <si>
    <t>Product B</t>
  </si>
  <si>
    <t>Total (exc. Tax)</t>
  </si>
  <si>
    <t>Price (€)</t>
  </si>
  <si>
    <t>Product C</t>
  </si>
  <si>
    <t>Subtotal EUR</t>
  </si>
  <si>
    <t>Total EUR</t>
  </si>
  <si>
    <t>L2O</t>
  </si>
  <si>
    <t xml:space="preserve">12 Avenue ch. Blanche </t>
  </si>
  <si>
    <t>Lyon 69000</t>
  </si>
  <si>
    <t>L2O.gotier@gmail.com</t>
  </si>
  <si>
    <t>Société Générale</t>
  </si>
  <si>
    <t>Invoice # :</t>
  </si>
  <si>
    <t>1.</t>
  </si>
  <si>
    <t>2.</t>
  </si>
  <si>
    <t>3.</t>
  </si>
  <si>
    <t>4.</t>
  </si>
  <si>
    <t xml:space="preserve">Check the payment information </t>
  </si>
  <si>
    <t>5.</t>
  </si>
  <si>
    <t>Choose the Client in the list (C6)</t>
  </si>
  <si>
    <t xml:space="preserve">List the product and the quantity </t>
  </si>
  <si>
    <t xml:space="preserve">Click on the "PDF Generator" boutton </t>
  </si>
  <si>
    <t>Go to the folder " invoices L2O " to find your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</si>
</sst>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"/>
    <numFmt numFmtId="165" formatCode="&quot;€&quot;#,##0.00"/>
  </numFmts>
  <fonts count="9" x14ac:knownFonts="1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48"/>
      <color theme="1"/>
      <name val="Aptos Narrow (Body)"/>
    </font>
    <font>
      <b/>
      <sz val="12"/>
      <color theme="1"/>
      <name val="Aptos Narrow"/>
      <scheme val="minor"/>
    </font>
    <font>
      <sz val="18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000000"/>
      <name val="Aptos Narrow"/>
      <scheme val="minor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1"/>
    <xf numFmtId="0" fontId="0" fillId="2" borderId="1" xfId="0" applyFill="1" applyBorder="1"/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3" borderId="1" xfId="0" applyFill="1" applyBorder="1"/>
    <xf numFmtId="0" fontId="0" fillId="2" borderId="2" xfId="0" applyFill="1" applyBorder="1"/>
    <xf numFmtId="0" fontId="4" fillId="0" borderId="2" xfId="0" applyFont="1" applyBorder="1"/>
    <xf numFmtId="0" fontId="0" fillId="0" borderId="2" xfId="0" applyBorder="1"/>
    <xf numFmtId="0" fontId="0" fillId="0" borderId="2" xfId="0" applyBorder="1" applyAlignment="1">
      <alignment horizontal="right"/>
    </xf>
    <xf numFmtId="0" fontId="0" fillId="0" borderId="2" xfId="0" applyBorder="1" applyAlignment="1">
      <alignment horizontal="center"/>
    </xf>
    <xf numFmtId="0" fontId="0" fillId="2" borderId="4" xfId="0" applyFill="1" applyBorder="1"/>
    <xf numFmtId="0" fontId="0" fillId="2" borderId="3" xfId="0" applyFill="1" applyBorder="1"/>
    <xf numFmtId="14" fontId="0" fillId="2" borderId="0" xfId="0" applyNumberFormat="1" applyFill="1" applyAlignment="1">
      <alignment horizontal="center"/>
    </xf>
    <xf numFmtId="165" fontId="0" fillId="2" borderId="1" xfId="0" applyNumberFormat="1" applyFill="1" applyBorder="1"/>
    <xf numFmtId="0" fontId="6" fillId="0" borderId="0" xfId="0" applyFont="1"/>
    <xf numFmtId="0" fontId="0" fillId="3" borderId="5" xfId="0" applyFill="1" applyBorder="1"/>
    <xf numFmtId="0" fontId="5" fillId="0" borderId="0" xfId="0" applyFont="1"/>
    <xf numFmtId="165" fontId="0" fillId="2" borderId="5" xfId="0" applyNumberFormat="1" applyFill="1" applyBorder="1"/>
    <xf numFmtId="165" fontId="0" fillId="2" borderId="0" xfId="0" applyNumberFormat="1" applyFill="1"/>
    <xf numFmtId="0" fontId="0" fillId="4" borderId="6" xfId="0" applyFill="1" applyBorder="1"/>
    <xf numFmtId="165" fontId="0" fillId="4" borderId="6" xfId="0" applyNumberFormat="1" applyFill="1" applyBorder="1"/>
    <xf numFmtId="0" fontId="0" fillId="2" borderId="7" xfId="0" applyFill="1" applyBorder="1"/>
    <xf numFmtId="0" fontId="0" fillId="0" borderId="4" xfId="0" applyBorder="1"/>
    <xf numFmtId="0" fontId="0" fillId="0" borderId="8" xfId="0" applyBorder="1"/>
    <xf numFmtId="0" fontId="4" fillId="0" borderId="0" xfId="0" applyFont="1"/>
    <xf numFmtId="0" fontId="1" fillId="0" borderId="0" xfId="1" applyBorder="1"/>
    <xf numFmtId="1" fontId="0" fillId="2" borderId="1" xfId="0" applyNumberFormat="1" applyFill="1" applyBorder="1"/>
    <xf numFmtId="0" fontId="0" fillId="2" borderId="9" xfId="0" applyFill="1" applyBorder="1"/>
    <xf numFmtId="0" fontId="0" fillId="2" borderId="0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742830</xdr:colOff>
      <xdr:row>0</xdr:row>
      <xdr:rowOff>105315</xdr:rowOff>
    </xdr:from>
    <xdr:to>
      <xdr:col>4</xdr:col>
      <xdr:colOff>814717</xdr:colOff>
      <xdr:row>1</xdr:row>
      <xdr:rowOff>737320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E543A7-BA39-B23E-FF16-1752FC7F6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21038" y="105315"/>
          <a:ext cx="1114245" cy="8356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</xdr:row>
          <xdr:rowOff>431800</xdr:rowOff>
        </xdr:from>
        <xdr:to>
          <xdr:col>7</xdr:col>
          <xdr:colOff>228600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PDF Generator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L2O.gotier@gmail.com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am.paint@gmail.com" TargetMode="External"/><Relationship Id="rId2" Type="http://schemas.openxmlformats.org/officeDocument/2006/relationships/hyperlink" Target="mailto:Breteuil.CO@gmail.com" TargetMode="External"/><Relationship Id="rId1" Type="http://schemas.openxmlformats.org/officeDocument/2006/relationships/hyperlink" Target="mailto:info@mike.inc" TargetMode="External"/><Relationship Id="rId4" Type="http://schemas.openxmlformats.org/officeDocument/2006/relationships/hyperlink" Target="mailto:Bikerpr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78010-78C5-BD4D-8C36-961FDE6FE40F}">
  <sheetPr codeName="Sheet1"/>
  <dimension ref="A1:O38"/>
  <sheetViews>
    <sheetView tabSelected="1" zoomScale="106" zoomScaleNormal="75" workbookViewId="0">
      <selection activeCell="H12" sqref="H12"/>
    </sheetView>
  </sheetViews>
  <sheetFormatPr baseColWidth="10" defaultRowHeight="16" x14ac:dyDescent="0.2"/>
  <cols>
    <col min="1" max="1" width="15" style="2" customWidth="1"/>
    <col min="2" max="2" width="14.83203125" style="2" customWidth="1"/>
    <col min="3" max="3" width="18.5" style="2" bestFit="1" customWidth="1"/>
    <col min="4" max="4" width="13.6640625" style="2" customWidth="1"/>
    <col min="5" max="5" width="12.6640625" style="2" customWidth="1"/>
    <col min="6" max="6" width="13.1640625" style="2" bestFit="1" customWidth="1"/>
    <col min="7" max="16384" width="10.83203125" style="2"/>
  </cols>
  <sheetData>
    <row r="1" spans="1:15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63" x14ac:dyDescent="0.75">
      <c r="A2" s="3" t="s">
        <v>25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">
      <c r="A4" s="3"/>
      <c r="B4" s="3"/>
      <c r="C4" s="3"/>
      <c r="D4" s="3"/>
      <c r="E4" s="3"/>
      <c r="F4" s="3"/>
      <c r="G4" s="3" t="s">
        <v>58</v>
      </c>
      <c r="H4" s="3" t="s">
        <v>64</v>
      </c>
      <c r="I4" s="3"/>
      <c r="J4" s="3"/>
      <c r="K4" s="3"/>
      <c r="L4" s="3"/>
      <c r="M4" s="3"/>
      <c r="N4" s="3"/>
      <c r="O4" s="3"/>
    </row>
    <row r="5" spans="1:15" ht="17" thickBot="1" x14ac:dyDescent="0.25">
      <c r="A5" s="4" t="s">
        <v>8</v>
      </c>
      <c r="B5" s="3"/>
      <c r="C5" s="4" t="s">
        <v>38</v>
      </c>
      <c r="D5" s="5" t="s">
        <v>57</v>
      </c>
      <c r="E5" s="6">
        <v>6</v>
      </c>
      <c r="F5" s="3"/>
      <c r="G5" s="3" t="s">
        <v>59</v>
      </c>
      <c r="H5" s="3" t="s">
        <v>65</v>
      </c>
      <c r="I5" s="3"/>
      <c r="J5" s="3"/>
      <c r="K5" s="3"/>
      <c r="L5" s="3"/>
      <c r="M5" s="3"/>
      <c r="N5" s="3"/>
      <c r="O5" s="3"/>
    </row>
    <row r="6" spans="1:15" ht="17" thickBot="1" x14ac:dyDescent="0.25">
      <c r="A6" s="4" t="s">
        <v>52</v>
      </c>
      <c r="B6" s="3"/>
      <c r="C6" s="31" t="s">
        <v>4</v>
      </c>
      <c r="D6" s="5" t="s">
        <v>9</v>
      </c>
      <c r="E6" s="16">
        <f ca="1">TODAY()</f>
        <v>45788</v>
      </c>
      <c r="F6" s="3"/>
      <c r="G6" s="3" t="s">
        <v>60</v>
      </c>
      <c r="H6" s="3" t="s">
        <v>62</v>
      </c>
      <c r="I6" s="3"/>
      <c r="J6" s="3"/>
      <c r="K6" s="3"/>
      <c r="L6" s="3"/>
      <c r="M6" s="3"/>
      <c r="N6" s="3"/>
      <c r="O6" s="3"/>
    </row>
    <row r="7" spans="1:15" x14ac:dyDescent="0.2">
      <c r="A7" t="s">
        <v>53</v>
      </c>
      <c r="B7" s="3"/>
      <c r="C7" s="3" t="str">
        <f>_xlfn.XLOOKUP($C$6,customers!B:B,customers!C:C)</f>
        <v>599 Ave. Schott</v>
      </c>
      <c r="D7" s="5" t="s">
        <v>10</v>
      </c>
      <c r="E7" s="7">
        <f ca="1">E6+31</f>
        <v>45819</v>
      </c>
      <c r="F7" s="3"/>
      <c r="G7" s="3" t="s">
        <v>61</v>
      </c>
      <c r="H7" s="3" t="s">
        <v>66</v>
      </c>
      <c r="I7" s="3"/>
      <c r="J7" s="3"/>
      <c r="K7" s="3"/>
      <c r="L7" s="3"/>
      <c r="M7" s="4"/>
      <c r="N7" s="3"/>
      <c r="O7" s="3"/>
    </row>
    <row r="8" spans="1:15" x14ac:dyDescent="0.2">
      <c r="A8" t="s">
        <v>54</v>
      </c>
      <c r="B8" s="3"/>
      <c r="C8" s="3" t="str">
        <f>_xlfn.XLOOKUP($C$6,customers!B:B,customers!D:D)</f>
        <v>New York, NY, 12290</v>
      </c>
      <c r="D8" s="3"/>
      <c r="E8" s="3"/>
      <c r="F8" s="3"/>
      <c r="G8" s="32" t="s">
        <v>63</v>
      </c>
      <c r="H8" s="32" t="s">
        <v>67</v>
      </c>
      <c r="I8" s="3"/>
      <c r="J8" s="3"/>
      <c r="K8" s="3"/>
      <c r="L8" s="3"/>
      <c r="M8" s="3"/>
      <c r="N8" s="3"/>
      <c r="O8" s="3"/>
    </row>
    <row r="9" spans="1:15" x14ac:dyDescent="0.2">
      <c r="A9" s="29" t="s">
        <v>55</v>
      </c>
      <c r="B9" s="3"/>
      <c r="C9" s="3" t="str">
        <f>_xlfn.XLOOKUP($C$6,customers!B:B,customers!E:E)</f>
        <v>info@mike.inc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">
      <c r="A12" s="8" t="s">
        <v>11</v>
      </c>
      <c r="B12" s="8" t="s">
        <v>12</v>
      </c>
      <c r="C12" s="8" t="s">
        <v>39</v>
      </c>
      <c r="D12" s="8" t="s">
        <v>13</v>
      </c>
      <c r="E12" s="19" t="s">
        <v>47</v>
      </c>
      <c r="F12" s="3"/>
      <c r="G12" s="20"/>
      <c r="H12" s="3"/>
      <c r="I12" s="3"/>
      <c r="J12" s="3"/>
      <c r="K12" s="3"/>
      <c r="L12" s="3"/>
      <c r="M12" s="3"/>
      <c r="N12" s="3"/>
      <c r="O12" s="3"/>
    </row>
    <row r="13" spans="1:15" x14ac:dyDescent="0.2">
      <c r="A13" s="2" t="s">
        <v>24</v>
      </c>
      <c r="B13" s="30">
        <v>2</v>
      </c>
      <c r="C13" s="17">
        <f>IF(B13=0,"",_xlfn.XLOOKUP(A13,Product!B:B,Product!C:C))</f>
        <v>20</v>
      </c>
      <c r="D13" s="21">
        <f>IF(B13=0,"",C13*B13*0.2)</f>
        <v>8</v>
      </c>
      <c r="E13" s="21">
        <f>IF(B13=0,"",(C13*B13))</f>
        <v>40</v>
      </c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">
      <c r="A14" s="2" t="s">
        <v>46</v>
      </c>
      <c r="B14" s="2">
        <v>1</v>
      </c>
      <c r="C14" s="17">
        <f>IF(B14=0,"",_xlfn.XLOOKUP(A14,Product!B:B,Product!C:C))</f>
        <v>50</v>
      </c>
      <c r="D14" s="21">
        <f t="shared" ref="D14:D21" si="0">IF(B14=0,"",C14*B14*0.2)</f>
        <v>10</v>
      </c>
      <c r="E14" s="21">
        <f t="shared" ref="E14:E21" si="1">IF(B14=0,"",(C14*B14))</f>
        <v>50</v>
      </c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">
      <c r="A15" s="2" t="s">
        <v>49</v>
      </c>
      <c r="B15" s="2">
        <v>6</v>
      </c>
      <c r="C15" s="17">
        <f>IF(B15=0,"",_xlfn.XLOOKUP(A15,Product!B:B,Product!C:C))</f>
        <v>100</v>
      </c>
      <c r="D15" s="21">
        <f t="shared" si="0"/>
        <v>120</v>
      </c>
      <c r="E15" s="21">
        <f t="shared" si="1"/>
        <v>600</v>
      </c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">
      <c r="C16" s="17" t="str">
        <f>IF(B16=0,"",_xlfn.XLOOKUP(A16,Product!B:B,Product!C:C))</f>
        <v/>
      </c>
      <c r="D16" s="21" t="str">
        <f t="shared" si="0"/>
        <v/>
      </c>
      <c r="E16" s="21" t="str">
        <f t="shared" si="1"/>
        <v/>
      </c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">
      <c r="C17" s="17" t="str">
        <f>IF(B17=0,"",_xlfn.XLOOKUP(A17,Product!B:B,Product!C:C))</f>
        <v/>
      </c>
      <c r="D17" s="21" t="str">
        <f t="shared" si="0"/>
        <v/>
      </c>
      <c r="E17" s="21" t="str">
        <f t="shared" si="1"/>
        <v/>
      </c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">
      <c r="C18" s="17" t="str">
        <f>IF(B18=0,"",_xlfn.XLOOKUP(A18,Product!B:B,Product!C:C))</f>
        <v/>
      </c>
      <c r="D18" s="21" t="str">
        <f t="shared" si="0"/>
        <v/>
      </c>
      <c r="E18" s="21" t="str">
        <f t="shared" si="1"/>
        <v/>
      </c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">
      <c r="C19" s="17" t="str">
        <f>IF(B19=0,"",_xlfn.XLOOKUP(A19,Product!B:B,Product!C:C))</f>
        <v/>
      </c>
      <c r="D19" s="21" t="str">
        <f t="shared" si="0"/>
        <v/>
      </c>
      <c r="E19" s="21" t="str">
        <f t="shared" si="1"/>
        <v/>
      </c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">
      <c r="C20" s="17" t="str">
        <f>IF(B20=0,"",_xlfn.XLOOKUP(A20,Product!B:B,Product!C:C))</f>
        <v/>
      </c>
      <c r="D20" s="21" t="str">
        <f t="shared" si="0"/>
        <v/>
      </c>
      <c r="E20" s="21" t="str">
        <f t="shared" si="1"/>
        <v/>
      </c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">
      <c r="C21" s="17" t="str">
        <f>IF(B21=0,"",_xlfn.XLOOKUP(A21,Product!B:B,Product!C:C))</f>
        <v/>
      </c>
      <c r="D21" s="21" t="str">
        <f t="shared" si="0"/>
        <v/>
      </c>
      <c r="E21" s="21" t="str">
        <f t="shared" si="1"/>
        <v/>
      </c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x14ac:dyDescent="0.2">
      <c r="A23" s="3"/>
      <c r="B23" s="3"/>
      <c r="C23" s="3"/>
      <c r="D23" s="3" t="s">
        <v>50</v>
      </c>
      <c r="E23" s="22">
        <f>SUM(E13:E21)</f>
        <v>690</v>
      </c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1:15" x14ac:dyDescent="0.2">
      <c r="A24" s="3"/>
      <c r="B24" s="3"/>
      <c r="C24" s="3"/>
      <c r="D24" s="3" t="s">
        <v>13</v>
      </c>
      <c r="E24" s="22">
        <f>SUM(D13:D21)</f>
        <v>138</v>
      </c>
      <c r="F24" s="3"/>
      <c r="G24" s="3"/>
      <c r="H24" s="3"/>
      <c r="I24" s="3"/>
      <c r="J24" s="3"/>
      <c r="K24" s="3"/>
      <c r="L24" s="3"/>
      <c r="M24" s="3"/>
      <c r="N24" s="3"/>
      <c r="O24" s="3"/>
    </row>
    <row r="25" spans="1:15" ht="17" thickBot="1" x14ac:dyDescent="0.25">
      <c r="A25" s="3"/>
      <c r="B25" s="3"/>
      <c r="C25" s="3"/>
      <c r="D25" s="23" t="s">
        <v>51</v>
      </c>
      <c r="E25" s="24">
        <f>E23+E24</f>
        <v>828</v>
      </c>
      <c r="F25" s="3"/>
      <c r="G25" s="3"/>
      <c r="H25" s="3"/>
      <c r="I25" s="3"/>
      <c r="J25" s="3"/>
      <c r="K25" s="3"/>
      <c r="L25" s="3"/>
      <c r="M25" s="3"/>
      <c r="N25" s="3"/>
      <c r="O25" s="3"/>
    </row>
    <row r="26" spans="1:15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</row>
    <row r="27" spans="1:15" x14ac:dyDescent="0.2">
      <c r="A27" s="15"/>
      <c r="B27" s="15"/>
      <c r="C27" s="15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</row>
    <row r="28" spans="1:15" x14ac:dyDescent="0.2">
      <c r="A28" s="14"/>
      <c r="B28" s="14"/>
      <c r="C28" s="25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</row>
    <row r="29" spans="1:15" ht="24" x14ac:dyDescent="0.3">
      <c r="A29" s="10" t="s">
        <v>14</v>
      </c>
      <c r="B29" s="11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</row>
    <row r="30" spans="1:15" ht="24" x14ac:dyDescent="0.3">
      <c r="A30" s="12" t="s">
        <v>16</v>
      </c>
      <c r="B30" s="13" t="s">
        <v>56</v>
      </c>
      <c r="C30" s="3"/>
      <c r="D30" s="28" t="s">
        <v>15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</row>
    <row r="31" spans="1:15" x14ac:dyDescent="0.2">
      <c r="A31" s="12" t="s">
        <v>18</v>
      </c>
      <c r="B31" s="13">
        <v>123456789</v>
      </c>
      <c r="C31" s="26"/>
      <c r="D31" s="27" t="s">
        <v>17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pans="1:15" x14ac:dyDescent="0.2">
      <c r="A32" s="12" t="s">
        <v>19</v>
      </c>
      <c r="B32" s="13" t="s">
        <v>20</v>
      </c>
      <c r="C32" s="11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</row>
    <row r="33" spans="1:15" x14ac:dyDescent="0.2">
      <c r="A33" s="12" t="s">
        <v>21</v>
      </c>
      <c r="B33" s="13" t="s">
        <v>22</v>
      </c>
      <c r="C33" s="9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</row>
    <row r="34" spans="1:15" x14ac:dyDescent="0.2">
      <c r="A34" s="12" t="s">
        <v>23</v>
      </c>
      <c r="B34" s="13">
        <v>123456</v>
      </c>
      <c r="C34" s="11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</row>
    <row r="35" spans="1:15" x14ac:dyDescent="0.2">
      <c r="A35" s="11"/>
      <c r="B35" s="11"/>
      <c r="C35" s="1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</row>
    <row r="36" spans="1:15" x14ac:dyDescent="0.2">
      <c r="A36" s="3"/>
      <c r="B36" s="9"/>
      <c r="C36" s="9"/>
      <c r="D36" s="9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</row>
    <row r="37" spans="1:15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</row>
    <row r="38" spans="1:15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</row>
  </sheetData>
  <hyperlinks>
    <hyperlink ref="A9" r:id="rId1" xr:uid="{796ED4BA-C612-2246-A40C-61B68EAC7184}"/>
  </hyperlinks>
  <pageMargins left="1" right="1" top="1" bottom="1" header="0.5" footer="0.5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voice.PDF">
                <anchor moveWithCells="1" sizeWithCells="1">
                  <from>
                    <xdr:col>5</xdr:col>
                    <xdr:colOff>533400</xdr:colOff>
                    <xdr:row>1</xdr:row>
                    <xdr:rowOff>431800</xdr:rowOff>
                  </from>
                  <to>
                    <xdr:col>7</xdr:col>
                    <xdr:colOff>228600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142BD3-A54E-DF47-A9B1-A396C7FC124E}">
          <x14:formula1>
            <xm:f>customers!$B$2:$B$1048576</xm:f>
          </x14:formula1>
          <xm:sqref>M8 I7 C6</xm:sqref>
        </x14:dataValidation>
        <x14:dataValidation type="list" allowBlank="1" showInputMessage="1" showErrorMessage="1" xr:uid="{BEFD5914-F0EE-1F48-A152-3B3FBDFBD289}">
          <x14:formula1>
            <xm:f>Product!$B:$B</xm:f>
          </x14:formula1>
          <xm:sqref>A13:A21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0ED7B-165A-DC45-8867-7AA2C098459F}">
  <sheetPr codeName="Sheet3"/>
  <dimension ref="B1:C6"/>
  <sheetViews>
    <sheetView workbookViewId="0">
      <selection activeCell="C2" sqref="C2"/>
    </sheetView>
  </sheetViews>
  <sheetFormatPr baseColWidth="10" defaultRowHeight="16" x14ac:dyDescent="0.2"/>
  <sheetData>
    <row r="1" spans="2:3" x14ac:dyDescent="0.2">
      <c r="B1" t="s">
        <v>40</v>
      </c>
      <c r="C1" t="s">
        <v>48</v>
      </c>
    </row>
    <row r="2" spans="2:3" x14ac:dyDescent="0.2">
      <c r="B2" t="s">
        <v>41</v>
      </c>
      <c r="C2">
        <v>20</v>
      </c>
    </row>
    <row r="3" spans="2:3" x14ac:dyDescent="0.2">
      <c r="B3" t="s">
        <v>42</v>
      </c>
      <c r="C3">
        <v>50</v>
      </c>
    </row>
    <row r="4" spans="2:3" x14ac:dyDescent="0.2">
      <c r="B4" t="s">
        <v>43</v>
      </c>
      <c r="C4">
        <v>100</v>
      </c>
    </row>
    <row r="5" spans="2:3" x14ac:dyDescent="0.2">
      <c r="B5" t="s">
        <v>44</v>
      </c>
      <c r="C5">
        <v>20.75</v>
      </c>
    </row>
    <row r="6" spans="2:3" x14ac:dyDescent="0.2">
      <c r="B6" s="18" t="s">
        <v>45</v>
      </c>
      <c r="C6">
        <v>45.79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89A9A-5629-384C-8F4C-0896FA9310DB}">
  <sheetPr codeName="Sheet2"/>
  <dimension ref="B1:E5"/>
  <sheetViews>
    <sheetView zoomScale="150" workbookViewId="0">
      <selection activeCell="D16" sqref="D16"/>
    </sheetView>
  </sheetViews>
  <sheetFormatPr baseColWidth="10" defaultRowHeight="16" x14ac:dyDescent="0.2"/>
  <cols>
    <col min="2" max="2" width="13" bestFit="1" customWidth="1"/>
    <col min="3" max="3" width="15" bestFit="1" customWidth="1"/>
    <col min="4" max="4" width="22.1640625" bestFit="1" customWidth="1"/>
  </cols>
  <sheetData>
    <row r="1" spans="2:5" x14ac:dyDescent="0.2">
      <c r="B1" t="s">
        <v>0</v>
      </c>
      <c r="C1" t="s">
        <v>2</v>
      </c>
      <c r="D1" t="s">
        <v>1</v>
      </c>
      <c r="E1" t="s">
        <v>3</v>
      </c>
    </row>
    <row r="2" spans="2:5" x14ac:dyDescent="0.2">
      <c r="B2" t="s">
        <v>26</v>
      </c>
      <c r="C2" t="s">
        <v>27</v>
      </c>
      <c r="D2" t="s">
        <v>28</v>
      </c>
      <c r="E2" s="1" t="s">
        <v>29</v>
      </c>
    </row>
    <row r="3" spans="2:5" x14ac:dyDescent="0.2">
      <c r="B3" t="s">
        <v>4</v>
      </c>
      <c r="C3" t="s">
        <v>30</v>
      </c>
      <c r="D3" t="s">
        <v>5</v>
      </c>
      <c r="E3" s="1" t="s">
        <v>7</v>
      </c>
    </row>
    <row r="4" spans="2:5" x14ac:dyDescent="0.2">
      <c r="B4" t="s">
        <v>31</v>
      </c>
      <c r="C4" t="s">
        <v>32</v>
      </c>
      <c r="D4" t="s">
        <v>6</v>
      </c>
      <c r="E4" s="1" t="s">
        <v>33</v>
      </c>
    </row>
    <row r="5" spans="2:5" x14ac:dyDescent="0.2">
      <c r="B5" t="s">
        <v>34</v>
      </c>
      <c r="C5" t="s">
        <v>35</v>
      </c>
      <c r="D5" t="s">
        <v>36</v>
      </c>
      <c r="E5" s="1" t="s">
        <v>37</v>
      </c>
    </row>
  </sheetData>
  <hyperlinks>
    <hyperlink ref="E3" r:id="rId1" xr:uid="{420AD063-162C-524F-A61C-EF0F18D48747}"/>
    <hyperlink ref="E2" r:id="rId2" xr:uid="{CCE0CF3D-7D1E-1A48-B2D4-E0412EE79890}"/>
    <hyperlink ref="E4" r:id="rId3" xr:uid="{2CD70596-776A-5C46-9E04-0F44AEA1BC5B}"/>
    <hyperlink ref="E5" r:id="rId4" xr:uid="{8B7F459C-9494-C34D-B8A2-799F5C090CCA}"/>
  </hyperlinks>
  <pageMargins left="0.7" right="0.7" top="0.75" bottom="0.75" header="0.3" footer="0.3"/>
  <pageSetup paperSize="9" orientation="portrait" horizontalDpi="0" verticalDpi="0"/>
</worksheet>
</file>

<file path=docMetadata/LabelInfo.xml><?xml version="1.0" encoding="utf-8"?>
<clbl:labelList xmlns:clbl="http://schemas.microsoft.com/office/2020/mipLabelMetadata">
  <clbl:label id="{2d26f538-337a-4593-a7e6-123667b1a538}" enabled="1" method="Standard" siteId="{e242425b-70fc-44dc-9ddf-c21e304e6c8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facture </vt:lpstr>
      <vt:lpstr>Product</vt:lpstr>
      <vt:lpstr>customers</vt:lpstr>
      <vt:lpstr>'facture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GAUTIER Leo</dc:creator>
  <cp:lastModifiedBy>gautier leo</cp:lastModifiedBy>
  <cp:lastPrinted>2025-05-11T15:58:37Z</cp:lastPrinted>
  <dcterms:created xsi:type="dcterms:W3CDTF">2025-04-02T14:39:01Z</dcterms:created>
  <dcterms:modified xsi:type="dcterms:W3CDTF">2025-05-11T16:01:34Z</dcterms:modified>
</cp:coreProperties>
</file>